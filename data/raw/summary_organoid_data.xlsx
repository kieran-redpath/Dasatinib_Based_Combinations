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ra\Downloads\"/>
    </mc:Choice>
  </mc:AlternateContent>
  <xr:revisionPtr revIDLastSave="0" documentId="8_{A3D63589-0481-4CE6-8D61-43B078F6777E}" xr6:coauthVersionLast="47" xr6:coauthVersionMax="47" xr10:uidLastSave="{00000000-0000-0000-0000-000000000000}"/>
  <bookViews>
    <workbookView xWindow="-96" yWindow="-96" windowWidth="23232" windowHeight="13872" xr2:uid="{A091B462-EA94-45A0-AA8B-CC9F1C8AF998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<sst xmlns="http://schemas.openxmlformats.org/spreadsheetml/2006/main" count="91" uniqueCount="12">
  <si>
    <t>Drug</t>
  </si>
  <si>
    <t>Genotype</t>
  </si>
  <si>
    <t>Concentration_uM</t>
  </si>
  <si>
    <t>Biological_Replicate</t>
  </si>
  <si>
    <t>DMSO_Normalised_Response_Mean</t>
  </si>
  <si>
    <t>Synergy</t>
  </si>
  <si>
    <t>Synergy_SEM</t>
  </si>
  <si>
    <t>Dasatinib</t>
  </si>
  <si>
    <t>WT</t>
  </si>
  <si>
    <t>CDH1</t>
  </si>
  <si>
    <t>Gefitinib</t>
  </si>
  <si>
    <t>Dasatinib_Gefitinib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</si>
</sst>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4f13c973ca6446/Documents/University/PhD/Drugging/3D_Analysis/20240725_gSORG_DEF_GEF_v2_Rep1.xlsx" TargetMode="External"/><Relationship Id="rId1" Type="http://schemas.openxmlformats.org/officeDocument/2006/relationships/externalLinkPath" Target="https://d.docs.live.net/984f13c973ca6446/Documents/University/PhD/Drugging/3D_Analysis/20240725_gSORG_DEF_GEF_v2_Rep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4f13c973ca6446/Documents/University/PhD/Drugging/3D_Analysis/20240730_gSORG_DEF_GEF_v2_Rep2.xlsx" TargetMode="External"/><Relationship Id="rId1" Type="http://schemas.openxmlformats.org/officeDocument/2006/relationships/externalLinkPath" Target="https://d.docs.live.net/984f13c973ca6446/Documents/University/PhD/Drugging/3D_Analysis/20240730_gSORG_DEF_GEF_v2_Rep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4f13c973ca6446/Documents/University/PhD/Drugging/3D_Analysis/20240804_gSORG_DEF_GEF_v2_Rep3.xlsx" TargetMode="External"/><Relationship Id="rId1" Type="http://schemas.openxmlformats.org/officeDocument/2006/relationships/externalLinkPath" Target="https://d.docs.live.net/984f13c973ca6446/Documents/University/PhD/Drugging/3D_Analysis/20240804_gSORG_DEF_GEF_v2_Rep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+MeanTrimmed"/>
      <sheetName val="Mean"/>
      <sheetName val="Median"/>
      <sheetName val="WT"/>
      <sheetName val="CDH1"/>
      <sheetName val="DKO"/>
    </sheetNames>
    <sheetDataSet>
      <sheetData sheetId="0" refreshError="1"/>
      <sheetData sheetId="1" refreshError="1">
        <row r="48">
          <cell r="AF48">
            <v>0.43431532299878151</v>
          </cell>
          <cell r="AM48">
            <v>0.42306270771265392</v>
          </cell>
          <cell r="AP48">
            <v>0.54672945871558742</v>
          </cell>
          <cell r="AU48">
            <v>0.89678784615507623</v>
          </cell>
        </row>
        <row r="49">
          <cell r="AM49">
            <v>0.32455387306185268</v>
          </cell>
          <cell r="AP49">
            <v>0.45769442763384161</v>
          </cell>
        </row>
        <row r="50">
          <cell r="AM50">
            <v>0.30791662641868461</v>
          </cell>
          <cell r="AP50">
            <v>0.43434963966269863</v>
          </cell>
        </row>
        <row r="51">
          <cell r="AM51">
            <v>0.45016415586401592</v>
          </cell>
          <cell r="AP51">
            <v>0.43095612829587793</v>
          </cell>
          <cell r="AU51">
            <v>0.68033530955323207</v>
          </cell>
        </row>
        <row r="52">
          <cell r="AM52">
            <v>0.35901213233981238</v>
          </cell>
          <cell r="AP52">
            <v>0.39298707603074035</v>
          </cell>
        </row>
        <row r="53">
          <cell r="AM53">
            <v>0.31756343757404831</v>
          </cell>
          <cell r="AP53">
            <v>0.3156771808016634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+MeanTrimmed"/>
      <sheetName val="Mean"/>
      <sheetName val="Median"/>
      <sheetName val="WT"/>
      <sheetName val="CDH1"/>
      <sheetName val="DKO"/>
    </sheetNames>
    <sheetDataSet>
      <sheetData sheetId="0" refreshError="1"/>
      <sheetData sheetId="1" refreshError="1">
        <row r="48">
          <cell r="AF48">
            <v>0.7067643256637044</v>
          </cell>
          <cell r="AM48">
            <v>0.71687508704580427</v>
          </cell>
          <cell r="AP48">
            <v>0.88005364136803199</v>
          </cell>
          <cell r="AU48">
            <v>1.0230945982197093</v>
          </cell>
        </row>
        <row r="49">
          <cell r="AM49">
            <v>0.73142810762083699</v>
          </cell>
          <cell r="AP49">
            <v>0.65150869397311217</v>
          </cell>
        </row>
        <row r="50">
          <cell r="AM50">
            <v>0.63376890154232735</v>
          </cell>
          <cell r="AP50">
            <v>0.46775570689602403</v>
          </cell>
        </row>
        <row r="51">
          <cell r="AM51">
            <v>0.6097917292251166</v>
          </cell>
          <cell r="AP51">
            <v>0.40730164917197503</v>
          </cell>
          <cell r="AU51">
            <v>0.60273555421488945</v>
          </cell>
        </row>
        <row r="52">
          <cell r="AM52">
            <v>0.49436905370082596</v>
          </cell>
          <cell r="AP52">
            <v>0.53602497724459974</v>
          </cell>
        </row>
        <row r="53">
          <cell r="AM53">
            <v>0.56395259830810029</v>
          </cell>
          <cell r="AP53">
            <v>0.41453682083207177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+MeanTrimmed"/>
      <sheetName val="Mean"/>
      <sheetName val="Median"/>
      <sheetName val="WT"/>
      <sheetName val="CDH1"/>
      <sheetName val="DKO"/>
    </sheetNames>
    <sheetDataSet>
      <sheetData sheetId="0" refreshError="1"/>
      <sheetData sheetId="1" refreshError="1">
        <row r="48">
          <cell r="AF48">
            <v>0.4746156576019811</v>
          </cell>
          <cell r="AM48">
            <v>0.56214528456723956</v>
          </cell>
          <cell r="AP48">
            <v>0.8176104763482861</v>
          </cell>
          <cell r="AU48">
            <v>1.0745364342570767</v>
          </cell>
        </row>
        <row r="49">
          <cell r="AM49">
            <v>0.47222159912978656</v>
          </cell>
          <cell r="AP49">
            <v>0.60412053493370055</v>
          </cell>
        </row>
        <row r="50">
          <cell r="AM50">
            <v>0.34712013485772086</v>
          </cell>
          <cell r="AP50">
            <v>0.3437184656760976</v>
          </cell>
        </row>
        <row r="51">
          <cell r="AM51">
            <v>0.71543604756315382</v>
          </cell>
          <cell r="AP51">
            <v>0.65628865871470909</v>
          </cell>
          <cell r="AU51">
            <v>0.76614422568765184</v>
          </cell>
        </row>
        <row r="52">
          <cell r="AM52">
            <v>0.54668410038870829</v>
          </cell>
          <cell r="AP52">
            <v>0.50745690273164523</v>
          </cell>
        </row>
        <row r="53">
          <cell r="AM53">
            <v>0.58456726470325282</v>
          </cell>
          <cell r="AP53">
            <v>0.54365375166235264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9E08-49FA-47AF-BCDB-7A39B9D47240}">
  <dimension ref="A1:G43"/>
  <sheetViews>
    <sheetView tabSelected="1" topLeftCell="A7" workbookViewId="0">
      <selection activeCell="J12" sqref="J12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>
        <v>0.25</v>
      </c>
      <c r="D2">
        <v>1</v>
      </c>
      <c r="E2">
        <f>[1]Mean!$AU$48</f>
        <v>0.89678784615507623</v>
      </c>
    </row>
    <row r="3" spans="1:7" x14ac:dyDescent="0.55000000000000004">
      <c r="A3" t="s">
        <v>7</v>
      </c>
      <c r="B3" t="s">
        <v>8</v>
      </c>
      <c r="C3">
        <v>0.25</v>
      </c>
      <c r="D3">
        <v>2</v>
      </c>
      <c r="E3">
        <f>[2]Mean!$AU$48</f>
        <v>1.0230945982197093</v>
      </c>
    </row>
    <row r="4" spans="1:7" x14ac:dyDescent="0.55000000000000004">
      <c r="A4" t="s">
        <v>7</v>
      </c>
      <c r="B4" t="s">
        <v>8</v>
      </c>
      <c r="C4">
        <v>0.25</v>
      </c>
      <c r="D4">
        <v>3</v>
      </c>
      <c r="E4">
        <f>[3]Mean!$AU$48</f>
        <v>1.0745364342570767</v>
      </c>
    </row>
    <row r="5" spans="1:7" x14ac:dyDescent="0.55000000000000004">
      <c r="A5" t="s">
        <v>7</v>
      </c>
      <c r="B5" t="s">
        <v>9</v>
      </c>
      <c r="C5">
        <v>0.25</v>
      </c>
      <c r="D5">
        <v>1</v>
      </c>
      <c r="E5">
        <f>[1]Mean!$AU$51</f>
        <v>0.68033530955323207</v>
      </c>
    </row>
    <row r="6" spans="1:7" x14ac:dyDescent="0.55000000000000004">
      <c r="A6" t="s">
        <v>7</v>
      </c>
      <c r="B6" t="s">
        <v>9</v>
      </c>
      <c r="C6">
        <v>0.25</v>
      </c>
      <c r="D6">
        <v>2</v>
      </c>
      <c r="E6">
        <f>[2]Mean!$AU$51</f>
        <v>0.60273555421488945</v>
      </c>
    </row>
    <row r="7" spans="1:7" x14ac:dyDescent="0.55000000000000004">
      <c r="A7" t="s">
        <v>7</v>
      </c>
      <c r="B7" t="s">
        <v>9</v>
      </c>
      <c r="C7">
        <v>0.25</v>
      </c>
      <c r="D7">
        <v>3</v>
      </c>
      <c r="E7">
        <f>[3]Mean!$AU$51</f>
        <v>0.76614422568765184</v>
      </c>
    </row>
    <row r="8" spans="1:7" x14ac:dyDescent="0.55000000000000004">
      <c r="A8" t="s">
        <v>10</v>
      </c>
      <c r="B8" t="s">
        <v>8</v>
      </c>
      <c r="C8">
        <v>0.5</v>
      </c>
      <c r="D8">
        <v>1</v>
      </c>
      <c r="E8">
        <f>[1]Mean!$AM$48</f>
        <v>0.42306270771265392</v>
      </c>
    </row>
    <row r="9" spans="1:7" x14ac:dyDescent="0.55000000000000004">
      <c r="A9" t="s">
        <v>10</v>
      </c>
      <c r="B9" t="s">
        <v>8</v>
      </c>
      <c r="C9">
        <v>0.5</v>
      </c>
      <c r="D9">
        <v>2</v>
      </c>
      <c r="E9">
        <f>[2]Mean!$AM$48</f>
        <v>0.71687508704580427</v>
      </c>
    </row>
    <row r="10" spans="1:7" x14ac:dyDescent="0.55000000000000004">
      <c r="A10" t="s">
        <v>10</v>
      </c>
      <c r="B10" t="s">
        <v>8</v>
      </c>
      <c r="C10">
        <v>0.5</v>
      </c>
      <c r="D10">
        <v>3</v>
      </c>
      <c r="E10">
        <f>[3]Mean!$AM$48</f>
        <v>0.56214528456723956</v>
      </c>
    </row>
    <row r="11" spans="1:7" x14ac:dyDescent="0.55000000000000004">
      <c r="A11" t="s">
        <v>10</v>
      </c>
      <c r="B11" t="s">
        <v>8</v>
      </c>
      <c r="C11">
        <v>1</v>
      </c>
      <c r="D11">
        <v>1</v>
      </c>
      <c r="E11">
        <f>[1]Mean!$AM$49</f>
        <v>0.32455387306185268</v>
      </c>
    </row>
    <row r="12" spans="1:7" x14ac:dyDescent="0.55000000000000004">
      <c r="A12" t="s">
        <v>10</v>
      </c>
      <c r="B12" t="s">
        <v>8</v>
      </c>
      <c r="C12">
        <v>1</v>
      </c>
      <c r="D12">
        <v>2</v>
      </c>
      <c r="E12">
        <f>[2]Mean!$AM$49</f>
        <v>0.73142810762083699</v>
      </c>
    </row>
    <row r="13" spans="1:7" x14ac:dyDescent="0.55000000000000004">
      <c r="A13" t="s">
        <v>10</v>
      </c>
      <c r="B13" t="s">
        <v>8</v>
      </c>
      <c r="C13">
        <v>1</v>
      </c>
      <c r="D13">
        <v>3</v>
      </c>
      <c r="E13">
        <f>[3]Mean!$AM$49</f>
        <v>0.47222159912978656</v>
      </c>
    </row>
    <row r="14" spans="1:7" x14ac:dyDescent="0.55000000000000004">
      <c r="A14" t="s">
        <v>10</v>
      </c>
      <c r="B14" t="s">
        <v>8</v>
      </c>
      <c r="C14">
        <v>2</v>
      </c>
      <c r="D14">
        <v>1</v>
      </c>
      <c r="E14">
        <f>[1]Mean!$AM$50</f>
        <v>0.30791662641868461</v>
      </c>
    </row>
    <row r="15" spans="1:7" x14ac:dyDescent="0.55000000000000004">
      <c r="A15" t="s">
        <v>10</v>
      </c>
      <c r="B15" t="s">
        <v>8</v>
      </c>
      <c r="C15">
        <v>2</v>
      </c>
      <c r="D15">
        <v>2</v>
      </c>
      <c r="E15">
        <f>[2]Mean!$AM$50</f>
        <v>0.63376890154232735</v>
      </c>
    </row>
    <row r="16" spans="1:7" x14ac:dyDescent="0.55000000000000004">
      <c r="A16" t="s">
        <v>10</v>
      </c>
      <c r="B16" t="s">
        <v>8</v>
      </c>
      <c r="C16">
        <v>2</v>
      </c>
      <c r="D16">
        <v>3</v>
      </c>
      <c r="E16">
        <f>[3]Mean!$AM$50</f>
        <v>0.34712013485772086</v>
      </c>
    </row>
    <row r="17" spans="1:7" x14ac:dyDescent="0.55000000000000004">
      <c r="A17" t="s">
        <v>10</v>
      </c>
      <c r="B17" t="s">
        <v>9</v>
      </c>
      <c r="C17">
        <v>0.5</v>
      </c>
      <c r="D17">
        <v>1</v>
      </c>
      <c r="E17">
        <f>[1]Mean!$AM$51</f>
        <v>0.45016415586401592</v>
      </c>
    </row>
    <row r="18" spans="1:7" x14ac:dyDescent="0.55000000000000004">
      <c r="A18" t="s">
        <v>10</v>
      </c>
      <c r="B18" t="s">
        <v>9</v>
      </c>
      <c r="C18">
        <v>0.5</v>
      </c>
      <c r="D18">
        <v>2</v>
      </c>
      <c r="E18">
        <f>[2]Mean!$AM$51</f>
        <v>0.6097917292251166</v>
      </c>
    </row>
    <row r="19" spans="1:7" x14ac:dyDescent="0.55000000000000004">
      <c r="A19" t="s">
        <v>10</v>
      </c>
      <c r="B19" t="s">
        <v>9</v>
      </c>
      <c r="C19">
        <v>0.5</v>
      </c>
      <c r="D19">
        <v>3</v>
      </c>
      <c r="E19">
        <f>[3]Mean!$AM$51</f>
        <v>0.71543604756315382</v>
      </c>
    </row>
    <row r="20" spans="1:7" x14ac:dyDescent="0.55000000000000004">
      <c r="A20" t="s">
        <v>10</v>
      </c>
      <c r="B20" t="s">
        <v>9</v>
      </c>
      <c r="C20">
        <v>1</v>
      </c>
      <c r="D20">
        <v>1</v>
      </c>
      <c r="E20">
        <f>[1]Mean!$AM$52</f>
        <v>0.35901213233981238</v>
      </c>
    </row>
    <row r="21" spans="1:7" x14ac:dyDescent="0.55000000000000004">
      <c r="A21" t="s">
        <v>10</v>
      </c>
      <c r="B21" t="s">
        <v>9</v>
      </c>
      <c r="C21">
        <v>1</v>
      </c>
      <c r="D21">
        <v>2</v>
      </c>
      <c r="E21">
        <f>[2]Mean!$AM$52</f>
        <v>0.49436905370082596</v>
      </c>
    </row>
    <row r="22" spans="1:7" x14ac:dyDescent="0.55000000000000004">
      <c r="A22" t="s">
        <v>10</v>
      </c>
      <c r="B22" t="s">
        <v>9</v>
      </c>
      <c r="C22">
        <v>1</v>
      </c>
      <c r="D22">
        <v>3</v>
      </c>
      <c r="E22">
        <f>[3]Mean!$AM$52</f>
        <v>0.54668410038870829</v>
      </c>
    </row>
    <row r="23" spans="1:7" x14ac:dyDescent="0.55000000000000004">
      <c r="A23" t="s">
        <v>10</v>
      </c>
      <c r="B23" t="s">
        <v>9</v>
      </c>
      <c r="C23">
        <v>2</v>
      </c>
      <c r="D23">
        <v>1</v>
      </c>
      <c r="E23">
        <f>[1]Mean!$AM$53</f>
        <v>0.31756343757404831</v>
      </c>
    </row>
    <row r="24" spans="1:7" x14ac:dyDescent="0.55000000000000004">
      <c r="A24" t="s">
        <v>10</v>
      </c>
      <c r="B24" t="s">
        <v>9</v>
      </c>
      <c r="C24">
        <v>2</v>
      </c>
      <c r="D24">
        <v>2</v>
      </c>
      <c r="E24">
        <f>[2]Mean!$AM$53</f>
        <v>0.56395259830810029</v>
      </c>
    </row>
    <row r="25" spans="1:7" x14ac:dyDescent="0.55000000000000004">
      <c r="A25" t="s">
        <v>10</v>
      </c>
      <c r="B25" t="s">
        <v>9</v>
      </c>
      <c r="C25">
        <v>2</v>
      </c>
      <c r="D25">
        <v>3</v>
      </c>
      <c r="E25">
        <f>[3]Mean!$AM$53</f>
        <v>0.58456726470325282</v>
      </c>
    </row>
    <row r="26" spans="1:7" x14ac:dyDescent="0.55000000000000004">
      <c r="A26" t="s">
        <v>11</v>
      </c>
      <c r="B26" t="s">
        <v>8</v>
      </c>
      <c r="C26">
        <v>0.5</v>
      </c>
      <c r="D26">
        <v>1</v>
      </c>
      <c r="E26">
        <f>[1]Mean!$AP$48</f>
        <v>0.54672945871558742</v>
      </c>
      <c r="F26">
        <v>-11.838900000000001</v>
      </c>
      <c r="G26">
        <v>1.27091</v>
      </c>
    </row>
    <row r="27" spans="1:7" x14ac:dyDescent="0.55000000000000004">
      <c r="A27" t="s">
        <v>11</v>
      </c>
      <c r="B27" t="s">
        <v>8</v>
      </c>
      <c r="C27">
        <v>0.5</v>
      </c>
      <c r="D27">
        <v>2</v>
      </c>
      <c r="E27">
        <f>[2]Mean!$AP$48</f>
        <v>0.88005364136803199</v>
      </c>
    </row>
    <row r="28" spans="1:7" x14ac:dyDescent="0.55000000000000004">
      <c r="A28" t="s">
        <v>11</v>
      </c>
      <c r="B28" t="s">
        <v>8</v>
      </c>
      <c r="C28">
        <v>0.5</v>
      </c>
      <c r="D28">
        <v>3</v>
      </c>
      <c r="E28">
        <f>[3]Mean!$AP$48</f>
        <v>0.8176104763482861</v>
      </c>
    </row>
    <row r="29" spans="1:7" x14ac:dyDescent="0.55000000000000004">
      <c r="A29" t="s">
        <v>11</v>
      </c>
      <c r="B29" t="s">
        <v>8</v>
      </c>
      <c r="C29">
        <v>1</v>
      </c>
      <c r="D29">
        <v>1</v>
      </c>
      <c r="E29">
        <f>[1]Mean!$AP$49</f>
        <v>0.45769442763384161</v>
      </c>
      <c r="F29">
        <v>-5.5157020000000001</v>
      </c>
      <c r="G29">
        <v>1.2095959999999999</v>
      </c>
    </row>
    <row r="30" spans="1:7" x14ac:dyDescent="0.55000000000000004">
      <c r="A30" t="s">
        <v>11</v>
      </c>
      <c r="B30" t="s">
        <v>8</v>
      </c>
      <c r="C30">
        <v>1</v>
      </c>
      <c r="D30">
        <v>2</v>
      </c>
      <c r="E30">
        <f>[2]Mean!$AP$49</f>
        <v>0.65150869397311217</v>
      </c>
    </row>
    <row r="31" spans="1:7" x14ac:dyDescent="0.55000000000000004">
      <c r="A31" t="s">
        <v>11</v>
      </c>
      <c r="B31" t="s">
        <v>8</v>
      </c>
      <c r="C31">
        <v>1</v>
      </c>
      <c r="D31">
        <v>3</v>
      </c>
      <c r="E31">
        <f>[3]Mean!$AP$49</f>
        <v>0.60412053493370055</v>
      </c>
    </row>
    <row r="32" spans="1:7" x14ac:dyDescent="0.55000000000000004">
      <c r="A32" t="s">
        <v>11</v>
      </c>
      <c r="B32" t="s">
        <v>8</v>
      </c>
      <c r="C32">
        <v>2</v>
      </c>
      <c r="D32">
        <v>1</v>
      </c>
      <c r="E32">
        <f>[1]Mean!$AP$50</f>
        <v>0.43434963966269863</v>
      </c>
      <c r="F32">
        <v>4.8544710000000002</v>
      </c>
      <c r="G32">
        <v>1.352889</v>
      </c>
    </row>
    <row r="33" spans="1:7" x14ac:dyDescent="0.55000000000000004">
      <c r="A33" t="s">
        <v>11</v>
      </c>
      <c r="B33" t="s">
        <v>8</v>
      </c>
      <c r="C33">
        <v>2</v>
      </c>
      <c r="D33">
        <v>2</v>
      </c>
      <c r="E33">
        <f>[2]Mean!$AP$50</f>
        <v>0.46775570689602403</v>
      </c>
    </row>
    <row r="34" spans="1:7" x14ac:dyDescent="0.55000000000000004">
      <c r="A34" t="s">
        <v>11</v>
      </c>
      <c r="B34" t="s">
        <v>8</v>
      </c>
      <c r="C34">
        <v>2</v>
      </c>
      <c r="D34">
        <v>3</v>
      </c>
      <c r="E34">
        <f>[3]Mean!$AP$50</f>
        <v>0.3437184656760976</v>
      </c>
    </row>
    <row r="35" spans="1:7" x14ac:dyDescent="0.55000000000000004">
      <c r="A35" t="s">
        <v>11</v>
      </c>
      <c r="B35" t="s">
        <v>9</v>
      </c>
      <c r="C35">
        <v>0.5</v>
      </c>
      <c r="D35">
        <v>1</v>
      </c>
      <c r="E35">
        <f>[1]Mean!$AP$51</f>
        <v>0.43095612829587793</v>
      </c>
      <c r="F35">
        <v>10.21504</v>
      </c>
      <c r="G35">
        <v>0.86836329999999995</v>
      </c>
    </row>
    <row r="36" spans="1:7" x14ac:dyDescent="0.55000000000000004">
      <c r="A36" t="s">
        <v>11</v>
      </c>
      <c r="B36" t="s">
        <v>9</v>
      </c>
      <c r="C36">
        <v>0.5</v>
      </c>
      <c r="D36">
        <v>2</v>
      </c>
      <c r="E36">
        <f>[2]Mean!$AP$51</f>
        <v>0.40730164917197503</v>
      </c>
    </row>
    <row r="37" spans="1:7" x14ac:dyDescent="0.55000000000000004">
      <c r="A37" t="s">
        <v>11</v>
      </c>
      <c r="B37" t="s">
        <v>9</v>
      </c>
      <c r="C37">
        <v>0.5</v>
      </c>
      <c r="D37">
        <v>3</v>
      </c>
      <c r="E37">
        <f>[3]Mean!$AP$51</f>
        <v>0.65628865871470909</v>
      </c>
    </row>
    <row r="38" spans="1:7" x14ac:dyDescent="0.55000000000000004">
      <c r="A38" t="s">
        <v>11</v>
      </c>
      <c r="B38" t="s">
        <v>9</v>
      </c>
      <c r="C38">
        <v>1</v>
      </c>
      <c r="D38">
        <v>1</v>
      </c>
      <c r="E38">
        <f>[1]Mean!$AP$52</f>
        <v>0.39298707603074035</v>
      </c>
      <c r="F38">
        <v>4.4517769999999999</v>
      </c>
      <c r="G38">
        <v>0.99454810000000005</v>
      </c>
    </row>
    <row r="39" spans="1:7" x14ac:dyDescent="0.55000000000000004">
      <c r="A39" t="s">
        <v>11</v>
      </c>
      <c r="B39" t="s">
        <v>9</v>
      </c>
      <c r="C39">
        <v>1</v>
      </c>
      <c r="D39">
        <v>2</v>
      </c>
      <c r="E39">
        <f>[2]Mean!$AP$52</f>
        <v>0.53602497724459974</v>
      </c>
    </row>
    <row r="40" spans="1:7" x14ac:dyDescent="0.55000000000000004">
      <c r="A40" t="s">
        <v>11</v>
      </c>
      <c r="B40" t="s">
        <v>9</v>
      </c>
      <c r="C40">
        <v>1</v>
      </c>
      <c r="D40">
        <v>3</v>
      </c>
      <c r="E40">
        <f>[3]Mean!$AP$52</f>
        <v>0.50745690273164523</v>
      </c>
    </row>
    <row r="41" spans="1:7" x14ac:dyDescent="0.55000000000000004">
      <c r="A41" t="s">
        <v>11</v>
      </c>
      <c r="B41" t="s">
        <v>9</v>
      </c>
      <c r="C41">
        <v>2</v>
      </c>
      <c r="D41">
        <v>1</v>
      </c>
      <c r="E41">
        <f>[1]Mean!$AP$53</f>
        <v>0.3156771808016634</v>
      </c>
      <c r="F41">
        <v>7.5397179999999997</v>
      </c>
      <c r="G41">
        <v>1.2132866</v>
      </c>
    </row>
    <row r="42" spans="1:7" x14ac:dyDescent="0.55000000000000004">
      <c r="A42" t="s">
        <v>11</v>
      </c>
      <c r="B42" t="s">
        <v>9</v>
      </c>
      <c r="C42">
        <v>2</v>
      </c>
      <c r="D42">
        <v>2</v>
      </c>
      <c r="E42">
        <f>[2]Mean!$AP$53</f>
        <v>0.41453682083207177</v>
      </c>
    </row>
    <row r="43" spans="1:7" x14ac:dyDescent="0.55000000000000004">
      <c r="A43" t="s">
        <v>11</v>
      </c>
      <c r="B43" t="s">
        <v>9</v>
      </c>
      <c r="C43">
        <v>2</v>
      </c>
      <c r="D43">
        <v>3</v>
      </c>
      <c r="E43">
        <f>[3]Mean!$AP$53</f>
        <v>0.54365375166235264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Redpath</dc:creator>
  <cp:lastModifiedBy>Kieran Redpath</cp:lastModifiedBy>
  <dcterms:created xsi:type="dcterms:W3CDTF">2025-10-30T04:18:55Z</dcterms:created>
  <dcterms:modified xsi:type="dcterms:W3CDTF">2025-10-30T04:20:17Z</dcterms:modified>
</cp:coreProperties>
</file>